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C:\www\planilhas\dashboard\"/>
    </mc:Choice>
  </mc:AlternateContent>
  <xr:revisionPtr revIDLastSave="10" documentId="8_{CA0B9602-E385-4F50-9596-679E24A4DCA2}" xr6:coauthVersionLast="47" xr6:coauthVersionMax="47" xr10:uidLastSave="{799CCDC7-8A89-43F0-9D7D-A7EE076FD911}"/>
  <bookViews>
    <workbookView xWindow="-20610" yWindow="-1350" windowWidth="20730" windowHeight="11760" tabRatio="0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8"/>
  <pivotCaches>
    <pivotCache cacheId="427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<sst xmlns="http://schemas.openxmlformats.org/spreadsheetml/2006/main" count="2022" uniqueCount="324">
  <si>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</si>
  <si>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</si>
  <si>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</si>
  <si>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</si>
  <si>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</si>
  <si>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</si>
  <si>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</si>
  <si>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</si>
  <si>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</si>
  <si>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</si>
  <si>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</si>
  <si>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</si>
  <si>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</si>
  <si>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</si>
  <si>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</si>
  <si>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</si>
  <si>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</si>
  <si>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</si>
  <si>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</si>
  <si>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</si>
  <si>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</si>
  <si>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</si>
  <si>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</si>
  <si>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</si>
  <si>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</si>
  <si>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</si>
  <si>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</si>
  <si>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</si>
  <si>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</si>
  <si>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</si>
  <si>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</si>
  <si>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</si>
  <si>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</si>
  <si>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</si>
  <si>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</si>
  <si>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</si>
  <si>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</si>
  <si>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</si>
  <si>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</si>
  <si>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</si>
  <si>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</si>
  <si>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</si>
  <si>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</si>
  <si>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</si>
  <si>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</si>
  <si>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</si>
  <si>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</si>
  <si>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</si>
  <si>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</si>
  <si>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</si>
  <si>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</si>
  <si>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</si>
  <si>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</si>
  <si>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</si>
  <si>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</si>
  <si>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</si>
  <si>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</si>
  <si>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</si>
  <si>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</si>
  <si>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</si>
  <si>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</si>
  <si>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</si>
  <si>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</si>
  <si>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</si>
  <si>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</si>
  <si>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</si>
  <si>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</si>
  <si>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</si>
  <si>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</si>
  <si>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</si>
  <si>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</si>
  <si>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</si>
  <si>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</si>
  <si>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</si>
  <si>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</si>
  <si>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</si>
  <si>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</si>
  <si>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</si>
  <si>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</si>
  <si>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</si>
  <si>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</si>
  <si>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</si>
  <si>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</si>
  <si>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</si>
  <si>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</si>
  <si>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</si>
  <si>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</si>
  <si>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</si>
  <si>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</si>
  <si>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</si>
  <si>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</si>
  <si>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</si>
  <si>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</si>
  <si>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</si>
  <si>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</si>
  <si>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</si>
  <si>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</si>
  <si>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</si>
  <si>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</si>
  <si>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</si>
  <si>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</si>
  <si>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</si>
  <si>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</si>
  <si>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</si>
  <si>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</si>
  <si>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</si>
  <si>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</si>
  <si>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</si>
  <si>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</si>
  <si>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</si>
  <si>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</si>
  <si>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</si>
  <si>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</si>
  <si>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</si>
  <si>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</si>
  <si>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</si>
  <si>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</si>
  <si>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</si>
  <si>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</si>
  <si>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</si>
  <si>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</si>
  <si>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</si>
  <si>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</si>
  <si>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</si>
  <si>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</si>
  <si>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</si>
  <si>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</si>
  <si>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</si>
  <si>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</si>
  <si>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</si>
  <si>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</si>
  <si>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</si>
  <si>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</si>
  <si>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</si>
  <si>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</si>
  <si>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</si>
  <si>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</si>
  <si>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</si>
  <si>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</si>
  <si>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</si>
  <si>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</si>
  <si>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</si>
  <si>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</si>
  <si>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</si>
  <si>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</si>
  <si>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</si>
  <si>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</si>
  <si>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</si>
  <si>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</si>
  <si>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</si>
  <si>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</si>
  <si>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</si>
  <si>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</si>
  <si>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</si>
  <si>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</si>
  <si>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</si>
  <si>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</si>
  <si>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</si>
  <si>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</si>
  <si>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</si>
  <si>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</si>
  <si>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</si>
  <si>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</si>
  <si>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</si>
  <si>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</si>
  <si>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</si>
  <si>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</si>
  <si>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</si>
  <si>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</si>
  <si>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</si>
  <si>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</si>
  <si>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</si>
  <si>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</si>
  <si>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</si>
  <si>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</si>
  <si>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</si>
  <si>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</si>
  <si>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</si>
  <si>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</si>
  <si>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</si>
  <si>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</si>
  <si>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</si>
  <si>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</si>
  <si>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</si>
  <si>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</si>
  <si>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</si>
  <si>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</si>
  <si>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</si>
  <si>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</si>
  <si>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</si>
  <si>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</si>
  <si>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</si>
  <si>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</si>
  <si>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</si>
  <si>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</si>
  <si>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</si>
  <si>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</si>
  <si>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</si>
  <si>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</si>
  <si>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</si>
  <si>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</si>
  <si>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</si>
  <si>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</si>
  <si>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</si>
  <si>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</si>
  <si>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</si>
  <si>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</si>
  <si>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</si>
  <si>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</si>
  <si>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</si>
  <si>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</si>
  <si>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</si>
  <si>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</si>
  <si>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</si>
  <si>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</si>
  <si>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</si>
  <si>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</si>
  <si>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</si>
  <si>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</si>
  <si>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</si>
  <si>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</si>
  <si>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</si>
  <si>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</si>
  <si>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</si>
  <si>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</si>
  <si>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</si>
  <si>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</si>
  <si>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</si>
  <si>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</si>
  <si>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</si>
  <si>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</si>
  <si>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</si>
  <si>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</si>
  <si>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</si>
  <si>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</si>
  <si>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</si>
  <si>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</si>
  <si>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</si>
  <si>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</si>
  <si>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</si>
  <si>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</si>
  <si>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</si>
  <si>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</si>
  <si>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</si>
  <si>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</si>
  <si>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</si>
  <si>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</si>
  <si>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</si>
  <si>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</si>
  <si>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</si>
  <si>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</si>
  <si>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</si>
  <si>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</si>
  <si>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</si>
  <si>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</si>
  <si>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</si>
  <si>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</si>
  <si>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</si>
  <si>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</si>
  <si>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</si>
  <si>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</si>
  <si>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</si>
  <si>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</si>
  <si>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</si>
  <si>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</si>
  <si>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</si>
  <si>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</si>
  <si>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</si>
  <si>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</si>
  <si>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</si>
  <si>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</si>
  <si>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</si>
  <si>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</si>
  <si>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</si>
  <si>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</si>
  <si>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</si>
  <si>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</si>
  <si>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</si>
  <si>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</si>
  <si>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</si>
  <si>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</si>
  <si>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</si>
  <si>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</si>
  <si>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</si>
  <si>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</si>
  <si>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</si>
  <si>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</si>
  <si>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</si>
  <si>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</si>
  <si>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</si>
  <si>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</si>
  <si>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</si>
  <si>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</si>
  <si>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</si>
  <si>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</si>
  <si>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</si>
  <si>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</si>
  <si>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</si>
  <si>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</si>
  <si>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</si>
  <si>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</si>
  <si>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</si>
  <si>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</si>
  <si>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</si>
  <si>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</si>
  <si>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</si>
  <si>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</si>
  <si>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</si>
  <si>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</si>
  <si>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</si>
  <si>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</si>
  <si>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</si>
  <si>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</si>
  <si>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</si>
  <si>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</si>
  <si>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</si>
  <si>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Rótulos de Linha</t>
  </si>
  <si>
    <t>Soma de Total Value</t>
  </si>
  <si>
    <t>Total Geral</t>
  </si>
  <si>
    <t>Pergunta Negócio 3 - Total de Vendas de Assinaturas do EA Play</t>
  </si>
  <si>
    <t>Soma de EA Play Season Pass</t>
  </si>
  <si>
    <t>Pergunta Negócio 4 - Total de Vendas de Assinaturas do Minecraft Season Pass</t>
  </si>
  <si>
    <t>Soma de Minecraft Season Pass Price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</si>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</sst>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&quot;R$&quot;\ * #,##0.00_-;\-&quot;R$&quot;\ * #,##0.00_-;_-&quot;R$&quot;\ * &quot;-&quot;??_-;_-@_-"/>
  </numFmts>
  <fonts count="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16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64" fontId="0" fillId="0" borderId="0" xfId="2" applyFont="1" applyAlignment="1">
      <alignment horizontal="center" vertical="center" wrapText="1"/>
    </xf>
    <xf numFmtId="0" fontId="0" fillId="0" borderId="0" xfId="0" pivotButton="1"/>
    <xf numFmtId="164" fontId="0" fillId="0" borderId="0" xfId="0" applyNumberFormat="1"/>
    <xf numFmtId="0" fontId="0" fillId="0" borderId="0" xfId="0" applyAlignment="1">
      <alignment horizontal="left"/>
    </xf>
    <xf numFmtId="0" fontId="5" fillId="0" borderId="2" xfId="1" applyFont="1" applyBorder="1"/>
    <xf numFmtId="16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  <xf numFmtId="0" fontId="0" fillId="0" borderId="0" xfId="0" applyNumberFormat="1"/>
  </cellXfs>
  <cellStyles count="4">
    <cellStyle name="Cabeçalho 1" xfId="1" builtinId="16"/>
    <cellStyle name="Moeda" xfId="2" builtinId="4"/>
    <cellStyle name="Neutro" xfId="3" builtinId="28"/>
    <cellStyle name="Normal" xfId="0" builtinId="0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[0120950e-64c8-4092-a257-ba22ed198c69.xlsx]C̳álculos!tbl_annual_total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_-"R$"\ * #,##0.00_-;\-"R$"\ * #,##0.00_-;_-"R$"\ * "-"??_-;_-@_-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-&quot;R$&quot;\ * #,##0.00_-;\-&quot;R$&quot;\ * #,##0.00_-;_-&quot;R$&quot;\ * &quot;-&quot;??_-;_-@_-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090737" y="1185863"/>
          <a:ext cx="4672013" cy="165496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R$ 600.00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17631" y="1185863"/>
          <a:ext cx="4669631" cy="157876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R$ 940.00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078831" y="3178969"/>
          <a:ext cx="10334625" cy="329803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128706</xdr:colOff>
      <xdr:row>5</xdr:row>
      <xdr:rowOff>16009</xdr:rowOff>
    </xdr:from>
    <xdr:to>
      <xdr:col>0</xdr:col>
      <xdr:colOff>1707135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  <a:ext uri="{147F2762-F138-4A5C-976F-8EAC2B608ADB}">
              <a16:predDERef xmlns:a16="http://schemas.microsoft.com/office/drawing/2014/main" pred="{EC4DB9D8-18DD-49D2-B4D2-0B5AC081D94F}"/>
            </a:ext>
          </a:extLst>
        </xdr:cNvPr>
        <xdr:cNvSpPr/>
      </xdr:nvSpPr>
      <xdr:spPr>
        <a:xfrm>
          <a:off x="128706" y="1006609"/>
          <a:ext cx="1578429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Liana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16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16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164">
      <sharedItems containsSemiMixedTypes="0" containsString="0" containsNumber="1" containsInteger="1" minValue="0" maxValue="20"/>
    </cacheField>
    <cacheField name="Coupon Value" numFmtId="164">
      <sharedItems containsSemiMixedTypes="0" containsString="0" containsNumber="1" containsInteger="1" minValue="0" maxValue="20"/>
    </cacheField>
    <cacheField name="Total Value" numFmtId="16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427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16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164" showAll="0"/>
    <pivotField numFmtId="164" showAll="0"/>
    <pivotField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427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16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164" showAll="0"/>
    <pivotField numFmtId="164" showAll="0"/>
    <pivotField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427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16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164" showAll="0"/>
    <pivotField numFmtId="164" showAll="0"/>
    <pivotField dataField="1" numFmtId="16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16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21" zoomScaleNormal="100" workbookViewId="0">
      <selection activeCell="E36" sqref="E36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1</v>
      </c>
      <c r="C5" t="s">
        <v>2</v>
      </c>
      <c r="E5" s="7" t="s">
        <v>3</v>
      </c>
      <c r="F5" t="s">
        <v>4</v>
      </c>
    </row>
    <row r="6" spans="2:16">
      <c r="B6" s="4" t="s">
        <v>5</v>
      </c>
      <c r="C6" t="s">
        <v>2</v>
      </c>
    </row>
    <row r="7" spans="2:16">
      <c r="B7" s="5" t="s">
        <v>6</v>
      </c>
      <c r="C7" t="s">
        <v>7</v>
      </c>
    </row>
    <row r="8" spans="2:16">
      <c r="B8" s="6" t="s">
        <v>8</v>
      </c>
      <c r="C8" t="s">
        <v>7</v>
      </c>
    </row>
    <row r="12" spans="2:16" ht="20.25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workbookViewId="0">
      <selection activeCell="C10" sqref="C10"/>
    </sheetView>
  </sheetViews>
  <sheetFormatPr defaultRowHeight="15"/>
  <cols>
    <col min="2" max="2" width="19" bestFit="1" customWidth="1"/>
    <col min="3" max="3" width="3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>
      <c r="B3" s="19" t="s">
        <v>313</v>
      </c>
      <c r="C3" s="19"/>
      <c r="D3" s="19"/>
      <c r="E3" s="19"/>
      <c r="F3" s="19"/>
    </row>
    <row r="6" spans="2:6">
      <c r="B6" t="s">
        <v>314</v>
      </c>
    </row>
    <row r="7" spans="2:6">
      <c r="B7" t="s">
        <v>315</v>
      </c>
    </row>
    <row r="9" spans="2:6">
      <c r="B9" s="12" t="s">
        <v>17</v>
      </c>
      <c r="C9" t="s">
        <v>31</v>
      </c>
    </row>
    <row r="11" spans="2:6">
      <c r="B11" s="12" t="s">
        <v>316</v>
      </c>
      <c r="C11" t="s">
        <v>317</v>
      </c>
    </row>
    <row r="12" spans="2:6">
      <c r="B12" s="14" t="s">
        <v>30</v>
      </c>
      <c r="C12" s="13">
        <v>217</v>
      </c>
    </row>
    <row r="13" spans="2:6">
      <c r="B13" s="14" t="s">
        <v>26</v>
      </c>
      <c r="C13" s="13">
        <v>1537</v>
      </c>
    </row>
    <row r="14" spans="2:6">
      <c r="B14" s="14" t="s">
        <v>318</v>
      </c>
      <c r="C14" s="13">
        <v>1754</v>
      </c>
    </row>
    <row r="17" spans="2:5">
      <c r="B17" s="14" t="s">
        <v>319</v>
      </c>
    </row>
    <row r="19" spans="2:5">
      <c r="B19" s="12" t="s">
        <v>17</v>
      </c>
      <c r="C19" t="s">
        <v>31</v>
      </c>
    </row>
    <row r="21" spans="2:5">
      <c r="B21" s="12" t="s">
        <v>316</v>
      </c>
      <c r="C21" t="s">
        <v>320</v>
      </c>
    </row>
    <row r="22" spans="2:5">
      <c r="B22" s="14" t="s">
        <v>29</v>
      </c>
      <c r="C22" s="20">
        <v>0</v>
      </c>
    </row>
    <row r="23" spans="2:5">
      <c r="B23" s="14" t="s">
        <v>34</v>
      </c>
      <c r="C23" s="20">
        <v>0</v>
      </c>
    </row>
    <row r="24" spans="2:5">
      <c r="B24" s="14" t="s">
        <v>25</v>
      </c>
      <c r="C24" s="20">
        <v>600</v>
      </c>
    </row>
    <row r="25" spans="2:5">
      <c r="B25" s="14" t="s">
        <v>318</v>
      </c>
      <c r="C25" s="20">
        <v>600</v>
      </c>
      <c r="E25" s="16">
        <f>GETPIVOTDATA("EA Play Season Pass
Price",$B$21)</f>
        <v>600</v>
      </c>
    </row>
    <row r="28" spans="2:5">
      <c r="B28" s="14" t="s">
        <v>321</v>
      </c>
    </row>
    <row r="30" spans="2:5">
      <c r="B30" s="12" t="s">
        <v>17</v>
      </c>
      <c r="C30" t="s">
        <v>31</v>
      </c>
    </row>
    <row r="32" spans="2:5">
      <c r="B32" s="12" t="s">
        <v>316</v>
      </c>
      <c r="C32" t="s">
        <v>322</v>
      </c>
    </row>
    <row r="33" spans="2:5">
      <c r="B33" s="14" t="s">
        <v>29</v>
      </c>
      <c r="C33" s="13">
        <v>0</v>
      </c>
    </row>
    <row r="34" spans="2:5">
      <c r="B34" s="14" t="s">
        <v>34</v>
      </c>
      <c r="C34" s="13">
        <v>540</v>
      </c>
    </row>
    <row r="35" spans="2:5">
      <c r="B35" s="14" t="s">
        <v>25</v>
      </c>
      <c r="C35" s="13">
        <v>400</v>
      </c>
    </row>
    <row r="36" spans="2:5">
      <c r="B36" s="14" t="s">
        <v>318</v>
      </c>
      <c r="C36" s="13">
        <v>940</v>
      </c>
      <c r="E36" s="16">
        <f>GETPIVOTDATA("Minecraft Season Pass Price",$B$32)</f>
        <v>940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topLeftCell="A11" zoomScaleNormal="100" workbookViewId="0">
      <selection activeCell="A7" sqref="A7"/>
    </sheetView>
  </sheetViews>
  <sheetFormatPr defaultRowHeight="15"/>
  <cols>
    <col min="1" max="1" width="27.42578125" style="4" customWidth="1"/>
    <col min="2" max="2" width="3.5703125" customWidth="1"/>
    <col min="12" max="12" width="6.5703125" customWidth="1"/>
  </cols>
  <sheetData>
    <row r="2" spans="1:19" ht="27.75" customHeight="1" thickBot="1">
      <c r="C2" s="18" t="s">
        <v>323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7"/>
      <c r="S2" s="17"/>
    </row>
    <row r="3" spans="1:19" ht="19.5" customHeight="1" thickTop="1"/>
    <row r="4" spans="1:19" s="7" customFormat="1" ht="8.25" customHeight="1">
      <c r="A4" s="4"/>
    </row>
    <row r="5" spans="1:19" s="7" customFormat="1" ht="7.5" customHeight="1">
      <c r="A5" s="4"/>
    </row>
    <row r="6" spans="1:19" s="7" customFormat="1" ht="10.5" customHeight="1">
      <c r="A6" s="4"/>
    </row>
    <row r="7" spans="1:19" s="7" customFormat="1" ht="9.75" customHeight="1">
      <c r="A7" s="4"/>
    </row>
    <row r="8" spans="1:19" s="7" customFormat="1" ht="11.25" customHeight="1">
      <c r="A8" s="4"/>
    </row>
    <row r="9" spans="1:19" s="7" customFormat="1">
      <c r="A9" s="4"/>
    </row>
    <row r="10" spans="1:19" s="7" customFormat="1">
      <c r="A10" s="4"/>
    </row>
    <row r="11" spans="1:19" s="7" customFormat="1" ht="14.25" customHeight="1">
      <c r="A11" s="4"/>
    </row>
    <row r="12" spans="1:19" s="7" customFormat="1">
      <c r="A12" s="4"/>
    </row>
    <row r="13" spans="1:19" s="7" customFormat="1">
      <c r="A13" s="4"/>
    </row>
    <row r="14" spans="1:19" s="7" customFormat="1">
      <c r="A14" s="4"/>
    </row>
    <row r="15" spans="1:19" s="7" customFormat="1">
      <c r="A15" s="4"/>
    </row>
    <row r="16" spans="1:19" s="7" customFormat="1">
      <c r="A16" s="4"/>
    </row>
    <row r="17" spans="1:1" s="7" customFormat="1">
      <c r="A17" s="4"/>
    </row>
    <row r="18" spans="1:1" s="7" customFormat="1">
      <c r="A18" s="4"/>
    </row>
    <row r="19" spans="1:1" s="7" customFormat="1">
      <c r="A19" s="4"/>
    </row>
    <row r="20" spans="1:1" s="7" customFormat="1">
      <c r="A20" s="4"/>
    </row>
    <row r="21" spans="1:1" s="7" customFormat="1">
      <c r="A21" s="4"/>
    </row>
    <row r="22" spans="1:1" s="7" customFormat="1">
      <c r="A22" s="4"/>
    </row>
    <row r="23" spans="1:1" s="7" customFormat="1">
      <c r="A23" s="4"/>
    </row>
    <row r="24" spans="1:1" s="7" customFormat="1">
      <c r="A24" s="4"/>
    </row>
    <row r="25" spans="1:1" s="7" customFormat="1">
      <c r="A25" s="4"/>
    </row>
    <row r="26" spans="1:1" s="7" customFormat="1">
      <c r="A26" s="4"/>
    </row>
    <row r="27" spans="1:1" s="7" customFormat="1">
      <c r="A27" s="4"/>
    </row>
    <row r="28" spans="1:1" s="7" customFormat="1">
      <c r="A28" s="4"/>
    </row>
    <row r="29" spans="1:1" s="7" customFormat="1">
      <c r="A29" s="4"/>
    </row>
    <row r="30" spans="1:1" s="7" customFormat="1">
      <c r="A30" s="4"/>
    </row>
    <row r="31" spans="1:1" s="7" customFormat="1">
      <c r="A31" s="4"/>
    </row>
    <row r="32" spans="1:1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1" s="7" customFormat="1">
      <c r="A129" s="4"/>
    </row>
    <row r="130" spans="1:1" s="7" customFormat="1">
      <c r="A130" s="4"/>
    </row>
    <row r="131" spans="1:1" s="7" customFormat="1">
      <c r="A131" s="4"/>
    </row>
    <row r="132" spans="1:1" s="7" customFormat="1">
      <c r="A132" s="4"/>
    </row>
    <row r="133" spans="1:1" s="7" customFormat="1">
      <c r="A133" s="4"/>
    </row>
    <row r="134" spans="1:1" s="7" customFormat="1">
      <c r="A134" s="4"/>
    </row>
    <row r="135" spans="1:1" s="7" customFormat="1">
      <c r="A135" s="4"/>
    </row>
    <row r="136" spans="1:1" s="7" customFormat="1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B26109AA-4A63-4ABA-9238-1315B3F7EEAB}"/>
</file>

<file path=customXml/itemProps2.xml><?xml version="1.0" encoding="utf-8"?>
<ds:datastoreItem xmlns:ds="http://schemas.openxmlformats.org/officeDocument/2006/customXml" ds:itemID="{A6A6278B-0476-46CE-815A-3F41F4371156}"/>
</file>

<file path=customXml/itemProps3.xml><?xml version="1.0" encoding="utf-8"?>
<ds:datastoreItem xmlns:ds="http://schemas.openxmlformats.org/officeDocument/2006/customXml" ds:itemID="{499037E4-A6E4-45D3-B93A-3D2B6A0C2B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>Jessica Pereira da Silva</cp:lastModifiedBy>
  <cp:revision/>
  <dcterms:created xsi:type="dcterms:W3CDTF">2024-12-19T13:13:10Z</dcterms:created>
  <dcterms:modified xsi:type="dcterms:W3CDTF">2025-12-06T00:05:50Z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